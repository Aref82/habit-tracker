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aso\Downloads\"/>
    </mc:Choice>
  </mc:AlternateContent>
  <xr:revisionPtr revIDLastSave="0" documentId="13_ncr:1_{4B678EB5-EF89-4476-917D-9C852198E82E}" xr6:coauthVersionLast="47" xr6:coauthVersionMax="47" xr10:uidLastSave="{00000000-0000-0000-0000-000000000000}"/>
  <bookViews>
    <workbookView xWindow="-98" yWindow="-98" windowWidth="20715" windowHeight="13515" xr2:uid="{9F6CF27B-1975-413D-83F8-A6B6C566A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9" i="1"/>
  <c r="A10" i="1"/>
  <c r="A11" i="1"/>
  <c r="A15" i="1"/>
  <c r="A17" i="1"/>
  <c r="A18" i="1"/>
  <c r="A19" i="1"/>
  <c r="A23" i="1"/>
  <c r="A25" i="1"/>
  <c r="A3" i="1"/>
  <c r="M27" i="1"/>
  <c r="C26" i="1"/>
  <c r="C27" i="1" s="1"/>
  <c r="D26" i="1"/>
  <c r="D27" i="1" s="1"/>
  <c r="E26" i="1"/>
  <c r="E27" i="1" s="1"/>
  <c r="F26" i="1"/>
  <c r="F27" i="1" s="1"/>
  <c r="G26" i="1"/>
  <c r="G27" i="1" s="1"/>
  <c r="H26" i="1"/>
  <c r="H27" i="1" s="1"/>
  <c r="I26" i="1"/>
  <c r="I27" i="1" s="1"/>
  <c r="J26" i="1"/>
  <c r="J27" i="1" s="1"/>
  <c r="K26" i="1"/>
  <c r="K27" i="1" s="1"/>
  <c r="L26" i="1"/>
  <c r="L27" i="1" s="1"/>
  <c r="M26" i="1"/>
  <c r="N26" i="1"/>
  <c r="N27" i="1" s="1"/>
  <c r="O26" i="1"/>
  <c r="O27" i="1" s="1"/>
  <c r="P26" i="1"/>
  <c r="P27" i="1" s="1"/>
  <c r="Q26" i="1"/>
  <c r="Q27" i="1" s="1"/>
  <c r="R26" i="1"/>
  <c r="R27" i="1" s="1"/>
  <c r="S26" i="1"/>
  <c r="S27" i="1" s="1"/>
  <c r="B4" i="1"/>
  <c r="A4" i="1" s="1"/>
  <c r="B5" i="1"/>
  <c r="A5" i="1" s="1"/>
  <c r="B6" i="1"/>
  <c r="A6" i="1" s="1"/>
  <c r="B7" i="1"/>
  <c r="B8" i="1"/>
  <c r="A8" i="1" s="1"/>
  <c r="B9" i="1"/>
  <c r="B10" i="1"/>
  <c r="B11" i="1"/>
  <c r="B12" i="1"/>
  <c r="A12" i="1" s="1"/>
  <c r="B13" i="1"/>
  <c r="A13" i="1" s="1"/>
  <c r="B14" i="1"/>
  <c r="A14" i="1" s="1"/>
  <c r="B15" i="1"/>
  <c r="B16" i="1"/>
  <c r="A16" i="1" s="1"/>
  <c r="B17" i="1"/>
  <c r="B18" i="1"/>
  <c r="B19" i="1"/>
  <c r="B20" i="1"/>
  <c r="A20" i="1" s="1"/>
  <c r="B21" i="1"/>
  <c r="A21" i="1" s="1"/>
  <c r="B22" i="1"/>
  <c r="A22" i="1" s="1"/>
  <c r="B23" i="1"/>
  <c r="B24" i="1"/>
  <c r="A24" i="1" s="1"/>
  <c r="B25" i="1"/>
  <c r="B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33" i="1"/>
  <c r="U62" i="1"/>
  <c r="S62" i="1"/>
  <c r="Q62" i="1"/>
  <c r="B26" i="1" l="1"/>
  <c r="A26" i="1"/>
  <c r="J62" i="1"/>
</calcChain>
</file>

<file path=xl/sharedStrings.xml><?xml version="1.0" encoding="utf-8"?>
<sst xmlns="http://schemas.openxmlformats.org/spreadsheetml/2006/main" count="91" uniqueCount="73">
  <si>
    <t>جمع</t>
  </si>
  <si>
    <t>درهم</t>
  </si>
  <si>
    <t>استیل</t>
  </si>
  <si>
    <t>فلز</t>
  </si>
  <si>
    <t>شیشه</t>
  </si>
  <si>
    <t>مشمع</t>
  </si>
  <si>
    <t>کارتن</t>
  </si>
  <si>
    <t>سنگین</t>
  </si>
  <si>
    <t>سبک</t>
  </si>
  <si>
    <t>نان</t>
  </si>
  <si>
    <t>پت</t>
  </si>
  <si>
    <t>پلاستیک</t>
  </si>
  <si>
    <t>تاریخ</t>
  </si>
  <si>
    <t>انواع لامپ</t>
  </si>
  <si>
    <t>led</t>
  </si>
  <si>
    <t>هارد</t>
  </si>
  <si>
    <t>CD</t>
  </si>
  <si>
    <t>UPS</t>
  </si>
  <si>
    <t>USB</t>
  </si>
  <si>
    <t>کیبردو اسپیکر</t>
  </si>
  <si>
    <t>موس</t>
  </si>
  <si>
    <t>سیم</t>
  </si>
  <si>
    <t>کارتریج</t>
  </si>
  <si>
    <t>باتری قلمی و فن کامپیوتر</t>
  </si>
  <si>
    <t>باتری ساعت</t>
  </si>
  <si>
    <t>باتری ماشین</t>
  </si>
  <si>
    <t>عکس رادیولوزی</t>
  </si>
  <si>
    <t>موبایل</t>
  </si>
  <si>
    <t>تلفن بیسیم و نوارکاست</t>
  </si>
  <si>
    <t>تلفن مودم دربازکن</t>
  </si>
  <si>
    <t>دستگاه فکس چاپگر فتوکپی</t>
  </si>
  <si>
    <t>چرخ گوشت و جاروبرقی</t>
  </si>
  <si>
    <t>ظرفشویی و لباسشویی</t>
  </si>
  <si>
    <t>کولرگازی</t>
  </si>
  <si>
    <t>کولرآبی هدفون و سشوار</t>
  </si>
  <si>
    <t>یخچال</t>
  </si>
  <si>
    <t>مانیتور و تلویزیون</t>
  </si>
  <si>
    <t>کیس و کامپیوتر</t>
  </si>
  <si>
    <t>جمع کل</t>
  </si>
  <si>
    <t>غرفه</t>
  </si>
  <si>
    <t>برنج</t>
  </si>
  <si>
    <t>سرب</t>
  </si>
  <si>
    <t>چدن</t>
  </si>
  <si>
    <t>خشک و نرم</t>
  </si>
  <si>
    <t>مس</t>
  </si>
  <si>
    <t>کاغذ و روزنامه</t>
  </si>
  <si>
    <t>قیمت روز</t>
  </si>
  <si>
    <t>مبلغ تجمیع</t>
  </si>
  <si>
    <t>الکترونیک</t>
  </si>
  <si>
    <t>جدول تحویل شوینده و تنخواه</t>
  </si>
  <si>
    <t>تنخواه</t>
  </si>
  <si>
    <t>شوینده</t>
  </si>
  <si>
    <t>تاریخ تحویل</t>
  </si>
  <si>
    <t>توضیحات</t>
  </si>
  <si>
    <t>بدهی به مشتری</t>
  </si>
  <si>
    <t>وضعیت غرفه</t>
  </si>
  <si>
    <t xml:space="preserve">تسویه ماه </t>
  </si>
  <si>
    <t>تنخواه باقیمانده</t>
  </si>
  <si>
    <t>شوینده باقیمانده در غرفه</t>
  </si>
  <si>
    <t>مانده از ماه قبل</t>
  </si>
  <si>
    <t>جمع کل مبلغ تنخواه و شوینده</t>
  </si>
  <si>
    <t>جمع کل مبلغ بار تحویلی</t>
  </si>
  <si>
    <t>جمع کل  بار تحویلی</t>
  </si>
  <si>
    <t>حساب غرفه تا پایان ............................. ماه محاسبه گردیده و مبلغ ........................................................... تومان .......................... متصدی شد که تسویه گردید و کلیه بدهی به مشتری غرفه به عهده متصدی می باشد .</t>
  </si>
  <si>
    <t>ریپورت</t>
  </si>
  <si>
    <t>مظنه ها</t>
  </si>
  <si>
    <t>کاغذ روزنامه</t>
  </si>
  <si>
    <t>مقوا</t>
  </si>
  <si>
    <t>قوطی</t>
  </si>
  <si>
    <t xml:space="preserve"> اهن سبک</t>
  </si>
  <si>
    <t>اهن سنگین</t>
  </si>
  <si>
    <t>الومینیم</t>
  </si>
  <si>
    <t>قیمت تاریخ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</si>
</sst>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3"/>
      <name val="Iran sans"/>
    </font>
    <font>
      <b/>
      <sz val="18"/>
      <color theme="3"/>
      <name val="Calibri"/>
      <family val="2"/>
      <scheme val="minor"/>
    </font>
    <font>
      <b/>
      <sz val="72"/>
      <color theme="1"/>
      <name val="B titr"/>
    </font>
    <font>
      <b/>
      <sz val="16"/>
      <color theme="3" tint="-0.249977111117893"/>
      <name val="Iran sans"/>
    </font>
    <font>
      <b/>
      <sz val="48"/>
      <color theme="3" tint="-0.249977111117893"/>
      <name val="Iran sans"/>
    </font>
    <font>
      <sz val="16"/>
      <color theme="1"/>
      <name val="2  Titr"/>
      <charset val="178"/>
    </font>
    <font>
      <sz val="16"/>
      <color rgb="FFFF0000"/>
      <name val="B Titr"/>
      <charset val="178"/>
    </font>
    <font>
      <b/>
      <sz val="16"/>
      <color theme="1"/>
      <name val="2  Nazanin"/>
      <charset val="178"/>
    </font>
    <font>
      <b/>
      <sz val="16"/>
      <color theme="1"/>
      <name val="2  Titr"/>
      <charset val="178"/>
    </font>
    <font>
      <b/>
      <sz val="22"/>
      <color theme="3"/>
      <name val="Calibri"/>
      <family val="2"/>
      <scheme val="minor"/>
    </font>
    <font>
      <sz val="22"/>
      <color theme="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3" fontId="7" fillId="1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1" fillId="0" borderId="0" xfId="0" applyFont="1" applyAlignment="1">
      <alignment horizontal="center" vertical="center" textRotation="45"/>
    </xf>
    <xf numFmtId="0" fontId="12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1" fillId="0" borderId="0" xfId="0" applyFont="1" applyAlignment="1">
      <alignment vertical="center" textRotation="45"/>
    </xf>
    <xf numFmtId="0" fontId="6" fillId="12" borderId="4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3" fontId="7" fillId="13" borderId="5" xfId="0" applyNumberFormat="1" applyFont="1" applyFill="1" applyBorder="1" applyAlignment="1">
      <alignment horizontal="center" vertical="center"/>
    </xf>
    <xf numFmtId="3" fontId="7" fillId="13" borderId="6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3" fontId="8" fillId="13" borderId="5" xfId="0" applyNumberFormat="1" applyFont="1" applyFill="1" applyBorder="1" applyAlignment="1">
      <alignment horizontal="center" vertical="center"/>
    </xf>
    <xf numFmtId="3" fontId="8" fillId="13" borderId="6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5" tint="0.39997558519241921"/>
        </left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6" tint="-0.499984740745262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7558519241921"/>
        </left>
        <right/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6" tint="-0.499984740745262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6" tint="-0.499984740745262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 outline="0">
        <right style="thin">
          <color theme="5" tint="0.39997558519241921"/>
        </right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2  Titr"/>
        <charset val="17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E178A6-63EC-49AC-9E19-8A21E9C9C79B}" name="Table1" displayName="Table1" ref="A2:T27" headerRowCount="0" totalsRowShown="0" headerRowDxfId="80" dataDxfId="79">
  <tableColumns count="20">
    <tableColumn id="1" xr3:uid="{DF11A25B-7E3C-4AC8-A950-409AC6C5FCC3}" name="Column1" dataDxfId="78"/>
    <tableColumn id="2" xr3:uid="{5C356C46-486B-4883-9B61-B445458A4941}" name="Column2" dataDxfId="77"/>
    <tableColumn id="3" xr3:uid="{7BFB94FD-C4BB-41D8-A158-348D08F0481F}" name="Column3" dataDxfId="76"/>
    <tableColumn id="4" xr3:uid="{ECF20648-0CF0-4DF2-A55F-185276270292}" name="Column4" dataDxfId="75"/>
    <tableColumn id="5" xr3:uid="{10AE6574-0623-4AD8-9C94-2D02806E23C0}" name="Column5" dataDxfId="74"/>
    <tableColumn id="6" xr3:uid="{CA800C57-B51F-4426-BD73-6DD00A5D4FEB}" name="Column6" dataDxfId="73"/>
    <tableColumn id="7" xr3:uid="{8BB3C3FF-A9D9-472A-BE94-E8E1B8A01A54}" name="Column7" dataDxfId="72"/>
    <tableColumn id="8" xr3:uid="{282D6CE7-1456-470A-ABBF-D4AD4FFA1B4B}" name="Column8" dataDxfId="71"/>
    <tableColumn id="9" xr3:uid="{9C7C57DE-E268-4D10-9767-8B18B053DFB2}" name="Column9" dataDxfId="70"/>
    <tableColumn id="10" xr3:uid="{54A4AFEA-BAF3-4A68-85C3-4BDB0AB078A0}" name="Column10" dataDxfId="69"/>
    <tableColumn id="11" xr3:uid="{3CA83EAB-6E98-418A-BA1D-95B6488B1C62}" name="Column11" dataDxfId="68"/>
    <tableColumn id="12" xr3:uid="{1B1E8E4A-2499-4844-B809-EB5863C8E0B0}" name="Column12" dataDxfId="67"/>
    <tableColumn id="13" xr3:uid="{F1C3DA2F-C9AA-4FCF-828E-649E0DC87420}" name="Column13" dataDxfId="66"/>
    <tableColumn id="14" xr3:uid="{162A2BBC-6DBF-4086-8D81-90B1E39C3DBE}" name="Column14" dataDxfId="65"/>
    <tableColumn id="15" xr3:uid="{B2995CD0-8A32-41AE-B782-3511A3E69B2A}" name="Column15" dataDxfId="64"/>
    <tableColumn id="16" xr3:uid="{71422E6E-4365-4E7D-A140-12743C934F54}" name="Column16" dataDxfId="63"/>
    <tableColumn id="17" xr3:uid="{A8FC69F5-6452-4F7C-A90F-A7E085C9EEED}" name="Column17" dataDxfId="62"/>
    <tableColumn id="18" xr3:uid="{30875977-34EF-439E-949A-5479946E6CA1}" name="Column18" dataDxfId="61"/>
    <tableColumn id="19" xr3:uid="{70D704DA-4650-4988-82A3-16EC2C1EE7DD}" name="Column19" dataDxfId="60"/>
    <tableColumn id="20" xr3:uid="{419AF0F2-4498-4AFA-B3CC-971AA88818DE}" name="Column20" dataDxfId="59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529D0-E9D4-4FA9-A2C9-7489A7D98C1B}" name="Table2" displayName="Table2" ref="A32:AB57" headerRowCount="0" totalsRowShown="0" headerRowDxfId="58" dataDxfId="57" tableBorderDxfId="56">
  <tableColumns count="28">
    <tableColumn id="1" xr3:uid="{2BD09FD9-6078-4F43-B72D-E462AD5798C7}" name="Column1" headerRowDxfId="55" dataDxfId="54"/>
    <tableColumn id="2" xr3:uid="{ED9D50D8-E128-4E57-995F-03D54B239988}" name="Column2" headerRowDxfId="53" dataDxfId="52"/>
    <tableColumn id="3" xr3:uid="{9F9D6673-4B0D-48E6-9564-A92B540BE01A}" name="Column3" headerRowDxfId="51" dataDxfId="50"/>
    <tableColumn id="4" xr3:uid="{C225AFEE-B1AD-4138-9664-6F5D357D004A}" name="Column4" headerRowDxfId="49" dataDxfId="48"/>
    <tableColumn id="5" xr3:uid="{2ACE227D-5FF4-4B90-B2C0-69AE81BA3E4D}" name="Column5" headerRowDxfId="47" dataDxfId="46"/>
    <tableColumn id="6" xr3:uid="{0841934D-3CA6-434E-B4B7-DB8DEC5B8EEB}" name="Column6" headerRowDxfId="45" dataDxfId="44"/>
    <tableColumn id="7" xr3:uid="{BDD9FF1E-91F8-434E-BA5C-1C8C737A0339}" name="Column7" headerRowDxfId="43" dataDxfId="42"/>
    <tableColumn id="8" xr3:uid="{E54DDEF4-9F20-4A9B-A56C-A8C51EA1BF8F}" name="Column8" headerRowDxfId="41" dataDxfId="40"/>
    <tableColumn id="9" xr3:uid="{8DCD9998-03FD-4E92-A553-CAB3951C56F8}" name="Column9" headerRowDxfId="39" dataDxfId="38"/>
    <tableColumn id="10" xr3:uid="{7252C4AB-4CDC-440A-AD61-0CA86105201C}" name="Column10" headerRowDxfId="37" dataDxfId="36"/>
    <tableColumn id="11" xr3:uid="{FEFCEE1C-24FF-4E0B-ADA3-42D47ED74C6C}" name="Column11" headerRowDxfId="35" dataDxfId="34"/>
    <tableColumn id="12" xr3:uid="{360C5AC2-76AF-4C29-AA2B-30C377228119}" name="Column12" headerRowDxfId="33" dataDxfId="32"/>
    <tableColumn id="13" xr3:uid="{27026408-006B-432E-97D9-48119104F386}" name="Column13" headerRowDxfId="31" dataDxfId="30"/>
    <tableColumn id="14" xr3:uid="{8B343EE1-6E52-4B2B-8F33-8AAEDB8AF41D}" name="Column14" headerRowDxfId="29" dataDxfId="28"/>
    <tableColumn id="15" xr3:uid="{7C220946-6164-4E5D-BD51-254D3C949B3A}" name="Column15" headerRowDxfId="27" dataDxfId="26"/>
    <tableColumn id="16" xr3:uid="{E5925D85-BC26-48B0-8A3B-DEE347EE2773}" name="Column16" headerRowDxfId="25" dataDxfId="24"/>
    <tableColumn id="17" xr3:uid="{F9C55F91-E3F2-4DA6-9C31-0AA4F094747D}" name="Column17" headerRowDxfId="23" dataDxfId="22"/>
    <tableColumn id="18" xr3:uid="{4119C231-48B5-4EAD-BB18-E4E1E547299B}" name="Column18" headerRowDxfId="21" dataDxfId="20"/>
    <tableColumn id="19" xr3:uid="{DA66B2AB-3089-4576-AE23-0454686E1552}" name="Column19" headerRowDxfId="19" dataDxfId="18"/>
    <tableColumn id="20" xr3:uid="{0B3ECAC1-B4EE-44AB-BF10-3C9F19C8CCB1}" name="Column20" headerRowDxfId="17" dataDxfId="16"/>
    <tableColumn id="21" xr3:uid="{70C9C1EC-36EC-4D83-A33D-348A4AA03E17}" name="Column21" headerRowDxfId="15" dataDxfId="14"/>
    <tableColumn id="22" xr3:uid="{73543891-7366-4632-BBE6-62FB8257A836}" name="Column22" headerRowDxfId="13" dataDxfId="12"/>
    <tableColumn id="23" xr3:uid="{B090AFB5-A258-4F03-B9C3-B9996F4A0D4C}" name="Column23" headerRowDxfId="11" dataDxfId="10"/>
    <tableColumn id="24" xr3:uid="{0D73A0C2-EA50-453E-A342-77121963B4E1}" name="Column24" headerRowDxfId="9" dataDxfId="8"/>
    <tableColumn id="25" xr3:uid="{28652440-99C5-4DC5-A8FC-98CC2CCC943A}" name="Column25" headerRowDxfId="7" dataDxfId="6"/>
    <tableColumn id="26" xr3:uid="{65B542EF-4D27-47B3-946B-790C79EAFA62}" name="Column26" headerRowDxfId="5" dataDxfId="4"/>
    <tableColumn id="27" xr3:uid="{C1623C59-AD86-4B7A-A8D6-D366363A31A1}" name="Column27" headerRowDxfId="3" dataDxfId="2"/>
    <tableColumn id="28" xr3:uid="{72B3D7B7-4DD7-4C25-9B22-DEAEE1520175}" name="Column28" headerRowDxfId="1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0537-AE00-4C5B-9A62-DE140F95A801}">
  <dimension ref="A1:AB86"/>
  <sheetViews>
    <sheetView tabSelected="1" zoomScale="53" zoomScaleNormal="70" workbookViewId="0">
      <selection activeCell="O42" sqref="O42"/>
    </sheetView>
  </sheetViews>
  <sheetFormatPr defaultColWidth="0" defaultRowHeight="14.25" zeroHeight="1" outlineLevelRow="1"/>
  <cols>
    <col min="1" max="20" width="20.53125" style="11" customWidth="1"/>
    <col min="21" max="21" width="10.6640625" style="11" customWidth="1"/>
    <col min="22" max="22" width="16.46484375" style="11" customWidth="1"/>
    <col min="23" max="23" width="13.796875" style="11" customWidth="1"/>
    <col min="24" max="24" width="20.86328125" style="11" customWidth="1"/>
    <col min="25" max="25" width="10.6640625" style="11" customWidth="1"/>
    <col min="26" max="26" width="14.3984375" style="11" customWidth="1"/>
    <col min="27" max="27" width="21.86328125" style="11" customWidth="1"/>
    <col min="28" max="28" width="16.19921875" style="11" customWidth="1"/>
    <col min="29" max="16384" width="9.06640625" style="11" hidden="1"/>
  </cols>
  <sheetData>
    <row r="1" spans="1:28" s="30" customFormat="1" ht="72.75" customHeight="1">
      <c r="A1" s="65" t="s">
        <v>39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</row>
    <row r="2" spans="1:28" s="8" customFormat="1" ht="45.4" hidden="1" customHeight="1" outlineLevel="1">
      <c r="A2" s="7" t="s">
        <v>72</v>
      </c>
      <c r="B2" s="7" t="s">
        <v>0</v>
      </c>
      <c r="C2" s="9" t="s">
        <v>2</v>
      </c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  <c r="I2" s="9" t="s">
        <v>7</v>
      </c>
      <c r="J2" s="9" t="s">
        <v>8</v>
      </c>
      <c r="K2" s="9" t="s">
        <v>3</v>
      </c>
      <c r="L2" s="9" t="s">
        <v>5</v>
      </c>
      <c r="M2" s="9" t="s">
        <v>4</v>
      </c>
      <c r="N2" s="9" t="s">
        <v>10</v>
      </c>
      <c r="O2" s="9" t="s">
        <v>11</v>
      </c>
      <c r="P2" s="9" t="s">
        <v>6</v>
      </c>
      <c r="Q2" s="9" t="s">
        <v>45</v>
      </c>
      <c r="R2" s="9" t="s">
        <v>9</v>
      </c>
      <c r="S2" s="9" t="s">
        <v>1</v>
      </c>
      <c r="T2" s="7" t="s">
        <v>12</v>
      </c>
      <c r="U2" s="10"/>
      <c r="V2" s="10"/>
      <c r="W2" s="10"/>
      <c r="X2" s="10"/>
      <c r="Y2" s="10"/>
      <c r="Z2" s="10"/>
      <c r="AA2" s="10"/>
      <c r="AB2" s="10"/>
    </row>
    <row r="3" spans="1:28" ht="20" hidden="1" customHeight="1" outlineLevel="1">
      <c r="A3" s="33">
        <f>IF(B3 = "بدون مقدار",B3,SUM(C3*$R$73,D3*$Q$73,E3*$P$73,F3*$O$73,G3*$N$73,H3*$M$73,I3*$L$73,J3*$K$73,K3*$J$73,L3*$I$73,(S3*$B$73),(R3*$C$73),Q3*$D$73,P3*$E$73,O3*$F$73,N3*$G$73,M3*$H$73))</f>
        <v>30000</v>
      </c>
      <c r="B3" s="33">
        <f>IF(SUM(C3:AA3)=0,"بدون مقدار",SUM(C3:AA3))</f>
        <v>1</v>
      </c>
      <c r="C3" s="11">
        <v>1</v>
      </c>
      <c r="T3" s="33"/>
      <c r="U3" s="30"/>
      <c r="V3" s="30"/>
      <c r="W3" s="30"/>
      <c r="X3" s="30"/>
      <c r="Y3" s="30"/>
      <c r="Z3" s="30"/>
      <c r="AA3" s="30"/>
      <c r="AB3" s="30"/>
    </row>
    <row r="4" spans="1:28" ht="20" hidden="1" customHeight="1" outlineLevel="1">
      <c r="A4" s="33" t="str">
        <f t="shared" ref="A4:A25" si="0">IF(B4 = "بدون مقدار",B4,SUM(C4*$R$73,D4*$Q$73,E4*$P$73,F4*$O$73,G4*$N$73,H4*$M$73,I4*$L$73,J4*$K$73,K4*$J$73,L4*$I$73,(S4*$B$73),(R4*$C$73),Q4*$D$73,P4*$E$73,O4*$F$73,N4*$G$73,M4*$H$73))</f>
        <v>بدون مقدار</v>
      </c>
      <c r="B4" s="33" t="str">
        <f t="shared" ref="B4:B25" si="1">IF(SUM(C4:AA4)=0,"بدون مقدار",SUM(C4:AA4))</f>
        <v>بدون مقدار</v>
      </c>
      <c r="T4" s="33"/>
      <c r="U4" s="30"/>
      <c r="V4" s="30"/>
      <c r="W4" s="30"/>
      <c r="X4" s="30"/>
      <c r="Y4" s="30"/>
      <c r="Z4" s="30"/>
      <c r="AA4" s="30"/>
      <c r="AB4" s="30"/>
    </row>
    <row r="5" spans="1:28" ht="20" hidden="1" customHeight="1" outlineLevel="1">
      <c r="A5" s="33" t="str">
        <f t="shared" si="0"/>
        <v>بدون مقدار</v>
      </c>
      <c r="B5" s="33" t="str">
        <f t="shared" si="1"/>
        <v>بدون مقدار</v>
      </c>
      <c r="T5" s="33"/>
      <c r="U5" s="30"/>
      <c r="V5" s="30"/>
      <c r="W5" s="30"/>
      <c r="X5" s="30"/>
      <c r="Y5" s="30"/>
      <c r="Z5" s="30"/>
      <c r="AA5" s="30"/>
      <c r="AB5" s="30"/>
    </row>
    <row r="6" spans="1:28" ht="20" hidden="1" customHeight="1" outlineLevel="1">
      <c r="A6" s="33">
        <f t="shared" si="0"/>
        <v>30000</v>
      </c>
      <c r="B6" s="33">
        <f t="shared" si="1"/>
        <v>1</v>
      </c>
      <c r="C6" s="11">
        <v>1</v>
      </c>
      <c r="T6" s="33"/>
      <c r="U6" s="30"/>
      <c r="V6" s="30"/>
      <c r="W6" s="30"/>
      <c r="X6" s="30"/>
      <c r="Y6" s="30"/>
      <c r="Z6" s="30"/>
      <c r="AA6" s="30"/>
      <c r="AB6" s="30"/>
    </row>
    <row r="7" spans="1:28" ht="20" hidden="1" customHeight="1" outlineLevel="1">
      <c r="A7" s="33">
        <f t="shared" si="0"/>
        <v>270000</v>
      </c>
      <c r="B7" s="33">
        <f t="shared" si="1"/>
        <v>4</v>
      </c>
      <c r="E7" s="11">
        <v>4</v>
      </c>
      <c r="T7" s="33"/>
      <c r="U7" s="30"/>
      <c r="V7" s="30"/>
      <c r="W7" s="30"/>
      <c r="X7" s="30"/>
      <c r="Y7" s="30"/>
      <c r="Z7" s="30"/>
      <c r="AA7" s="30"/>
      <c r="AB7" s="30"/>
    </row>
    <row r="8" spans="1:28" ht="20" hidden="1" customHeight="1" outlineLevel="1">
      <c r="A8" s="33" t="str">
        <f t="shared" si="0"/>
        <v>بدون مقدار</v>
      </c>
      <c r="B8" s="33" t="str">
        <f t="shared" si="1"/>
        <v>بدون مقدار</v>
      </c>
      <c r="T8" s="33"/>
      <c r="U8" s="30"/>
      <c r="V8" s="30"/>
      <c r="W8" s="30"/>
      <c r="X8" s="30"/>
      <c r="Y8" s="30"/>
      <c r="Z8" s="30"/>
      <c r="AA8" s="30"/>
      <c r="AB8" s="30"/>
    </row>
    <row r="9" spans="1:28" ht="20" hidden="1" customHeight="1" outlineLevel="1">
      <c r="A9" s="33" t="str">
        <f t="shared" si="0"/>
        <v>بدون مقدار</v>
      </c>
      <c r="B9" s="33" t="str">
        <f t="shared" si="1"/>
        <v>بدون مقدار</v>
      </c>
      <c r="T9" s="33"/>
      <c r="U9" s="30"/>
      <c r="V9" s="30"/>
      <c r="W9" s="30"/>
      <c r="X9" s="30"/>
      <c r="Y9" s="30"/>
      <c r="Z9" s="30"/>
      <c r="AA9" s="30"/>
      <c r="AB9" s="30"/>
    </row>
    <row r="10" spans="1:28" ht="20" hidden="1" customHeight="1" outlineLevel="1">
      <c r="A10" s="33">
        <f t="shared" si="0"/>
        <v>30000</v>
      </c>
      <c r="B10" s="33">
        <f t="shared" si="1"/>
        <v>1</v>
      </c>
      <c r="C10" s="11">
        <v>1</v>
      </c>
      <c r="T10" s="33"/>
      <c r="U10" s="30"/>
      <c r="V10" s="30"/>
      <c r="W10" s="30"/>
      <c r="X10" s="30"/>
      <c r="Y10" s="30"/>
      <c r="Z10" s="30"/>
      <c r="AA10" s="30"/>
      <c r="AB10" s="30"/>
    </row>
    <row r="11" spans="1:28" ht="20" hidden="1" customHeight="1" outlineLevel="1">
      <c r="A11" s="33" t="str">
        <f t="shared" si="0"/>
        <v>بدون مقدار</v>
      </c>
      <c r="B11" s="33" t="str">
        <f t="shared" si="1"/>
        <v>بدون مقدار</v>
      </c>
      <c r="T11" s="33"/>
      <c r="U11" s="30"/>
      <c r="V11" s="30"/>
      <c r="W11" s="30"/>
      <c r="X11" s="30"/>
      <c r="Y11" s="30"/>
      <c r="Z11" s="30"/>
      <c r="AA11" s="30"/>
      <c r="AB11" s="30"/>
    </row>
    <row r="12" spans="1:28" ht="20" hidden="1" customHeight="1" outlineLevel="1">
      <c r="A12" s="33" t="str">
        <f t="shared" si="0"/>
        <v>بدون مقدار</v>
      </c>
      <c r="B12" s="33" t="str">
        <f t="shared" si="1"/>
        <v>بدون مقدار</v>
      </c>
      <c r="T12" s="33"/>
      <c r="U12" s="30"/>
      <c r="V12" s="30"/>
      <c r="W12" s="30"/>
      <c r="X12" s="30"/>
      <c r="Y12" s="30"/>
      <c r="Z12" s="30"/>
      <c r="AA12" s="30"/>
      <c r="AB12" s="30"/>
    </row>
    <row r="13" spans="1:28" ht="20" hidden="1" customHeight="1" outlineLevel="1">
      <c r="A13" s="33" t="str">
        <f t="shared" si="0"/>
        <v>بدون مقدار</v>
      </c>
      <c r="B13" s="33" t="str">
        <f t="shared" si="1"/>
        <v>بدون مقدار</v>
      </c>
      <c r="T13" s="33"/>
      <c r="U13" s="30"/>
      <c r="V13" s="30"/>
      <c r="W13" s="30"/>
      <c r="X13" s="30"/>
      <c r="Y13" s="30"/>
      <c r="Z13" s="30"/>
      <c r="AA13" s="30"/>
      <c r="AB13" s="30"/>
    </row>
    <row r="14" spans="1:28" ht="20" hidden="1" customHeight="1" outlineLevel="1">
      <c r="A14" s="33" t="str">
        <f t="shared" si="0"/>
        <v>بدون مقدار</v>
      </c>
      <c r="B14" s="33" t="str">
        <f t="shared" si="1"/>
        <v>بدون مقدار</v>
      </c>
      <c r="T14" s="33"/>
      <c r="U14" s="30"/>
      <c r="V14" s="30"/>
      <c r="W14" s="30"/>
      <c r="X14" s="30"/>
      <c r="Y14" s="30"/>
      <c r="Z14" s="30"/>
      <c r="AA14" s="30"/>
      <c r="AB14" s="30"/>
    </row>
    <row r="15" spans="1:28" ht="20" hidden="1" customHeight="1" outlineLevel="1">
      <c r="A15" s="33" t="str">
        <f t="shared" si="0"/>
        <v>بدون مقدار</v>
      </c>
      <c r="B15" s="33" t="str">
        <f t="shared" si="1"/>
        <v>بدون مقدار</v>
      </c>
      <c r="T15" s="33"/>
      <c r="U15" s="30"/>
      <c r="V15" s="30"/>
      <c r="W15" s="30"/>
      <c r="X15" s="30"/>
      <c r="Y15" s="30"/>
      <c r="Z15" s="30"/>
      <c r="AA15" s="30"/>
      <c r="AB15" s="30"/>
    </row>
    <row r="16" spans="1:28" ht="20" hidden="1" customHeight="1" outlineLevel="1">
      <c r="A16" s="33" t="str">
        <f t="shared" si="0"/>
        <v>بدون مقدار</v>
      </c>
      <c r="B16" s="33" t="str">
        <f t="shared" si="1"/>
        <v>بدون مقدار</v>
      </c>
      <c r="T16" s="33"/>
      <c r="U16" s="30"/>
      <c r="V16" s="30"/>
      <c r="W16" s="30"/>
      <c r="X16" s="30"/>
      <c r="Y16" s="30"/>
      <c r="Z16" s="30"/>
      <c r="AA16" s="30"/>
      <c r="AB16" s="30"/>
    </row>
    <row r="17" spans="1:28" ht="20" hidden="1" customHeight="1" outlineLevel="1">
      <c r="A17" s="33" t="str">
        <f t="shared" si="0"/>
        <v>بدون مقدار</v>
      </c>
      <c r="B17" s="33" t="str">
        <f t="shared" si="1"/>
        <v>بدون مقدار</v>
      </c>
      <c r="T17" s="33"/>
      <c r="U17" s="30"/>
      <c r="V17" s="30"/>
      <c r="W17" s="30"/>
      <c r="X17" s="30"/>
      <c r="Y17" s="30"/>
      <c r="Z17" s="30"/>
      <c r="AA17" s="30"/>
      <c r="AB17" s="30"/>
    </row>
    <row r="18" spans="1:28" ht="20" hidden="1" customHeight="1" outlineLevel="1">
      <c r="A18" s="33" t="str">
        <f t="shared" si="0"/>
        <v>بدون مقدار</v>
      </c>
      <c r="B18" s="33" t="str">
        <f t="shared" si="1"/>
        <v>بدون مقدار</v>
      </c>
      <c r="T18" s="33"/>
      <c r="U18" s="30"/>
      <c r="V18" s="30"/>
      <c r="W18" s="30"/>
      <c r="X18" s="30"/>
      <c r="Y18" s="30"/>
      <c r="Z18" s="30"/>
      <c r="AA18" s="30"/>
      <c r="AB18" s="30"/>
    </row>
    <row r="19" spans="1:28" ht="20" hidden="1" customHeight="1" outlineLevel="1">
      <c r="A19" s="33" t="str">
        <f t="shared" si="0"/>
        <v>بدون مقدار</v>
      </c>
      <c r="B19" s="33" t="str">
        <f t="shared" si="1"/>
        <v>بدون مقدار</v>
      </c>
      <c r="T19" s="33"/>
      <c r="U19" s="30"/>
      <c r="V19" s="30"/>
      <c r="W19" s="30"/>
      <c r="X19" s="30"/>
      <c r="Y19" s="30"/>
      <c r="Z19" s="30"/>
      <c r="AA19" s="30"/>
      <c r="AB19" s="30"/>
    </row>
    <row r="20" spans="1:28" ht="20" hidden="1" customHeight="1" outlineLevel="1">
      <c r="A20" s="33" t="str">
        <f t="shared" si="0"/>
        <v>بدون مقدار</v>
      </c>
      <c r="B20" s="33" t="str">
        <f t="shared" si="1"/>
        <v>بدون مقدار</v>
      </c>
      <c r="T20" s="33"/>
      <c r="U20" s="30"/>
      <c r="V20" s="30"/>
      <c r="W20" s="30"/>
      <c r="X20" s="30"/>
      <c r="Y20" s="30"/>
      <c r="Z20" s="30"/>
      <c r="AA20" s="30"/>
      <c r="AB20" s="30"/>
    </row>
    <row r="21" spans="1:28" ht="20" hidden="1" customHeight="1" outlineLevel="1">
      <c r="A21" s="33" t="str">
        <f t="shared" si="0"/>
        <v>بدون مقدار</v>
      </c>
      <c r="B21" s="33" t="str">
        <f t="shared" si="1"/>
        <v>بدون مقدار</v>
      </c>
      <c r="T21" s="33"/>
      <c r="U21" s="30"/>
      <c r="V21" s="30"/>
      <c r="W21" s="30"/>
      <c r="X21" s="30"/>
      <c r="Y21" s="30"/>
      <c r="Z21" s="30"/>
      <c r="AA21" s="30"/>
      <c r="AB21" s="30"/>
    </row>
    <row r="22" spans="1:28" ht="20" hidden="1" customHeight="1" outlineLevel="1">
      <c r="A22" s="33" t="str">
        <f t="shared" si="0"/>
        <v>بدون مقدار</v>
      </c>
      <c r="B22" s="33" t="str">
        <f t="shared" si="1"/>
        <v>بدون مقدار</v>
      </c>
      <c r="T22" s="33"/>
      <c r="U22" s="30"/>
      <c r="V22" s="30"/>
      <c r="W22" s="30"/>
      <c r="X22" s="30"/>
      <c r="Y22" s="30"/>
      <c r="Z22" s="30"/>
      <c r="AA22" s="30"/>
      <c r="AB22" s="30"/>
    </row>
    <row r="23" spans="1:28" ht="20" hidden="1" customHeight="1" outlineLevel="1">
      <c r="A23" s="33" t="str">
        <f t="shared" si="0"/>
        <v>بدون مقدار</v>
      </c>
      <c r="B23" s="33" t="str">
        <f t="shared" si="1"/>
        <v>بدون مقدار</v>
      </c>
      <c r="T23" s="33"/>
      <c r="U23" s="30"/>
      <c r="V23" s="30"/>
      <c r="W23" s="30"/>
      <c r="X23" s="30"/>
      <c r="Y23" s="30"/>
      <c r="Z23" s="30"/>
      <c r="AA23" s="30"/>
      <c r="AB23" s="30"/>
    </row>
    <row r="24" spans="1:28" ht="20" hidden="1" customHeight="1" outlineLevel="1">
      <c r="A24" s="33" t="str">
        <f t="shared" si="0"/>
        <v>بدون مقدار</v>
      </c>
      <c r="B24" s="33" t="str">
        <f t="shared" si="1"/>
        <v>بدون مقدار</v>
      </c>
      <c r="T24" s="33"/>
      <c r="U24" s="30"/>
      <c r="V24" s="30"/>
      <c r="W24" s="30"/>
      <c r="X24" s="30"/>
      <c r="Y24" s="30"/>
      <c r="Z24" s="30"/>
      <c r="AA24" s="30"/>
      <c r="AB24" s="30"/>
    </row>
    <row r="25" spans="1:28" ht="20" hidden="1" customHeight="1" outlineLevel="1">
      <c r="A25" s="33" t="str">
        <f t="shared" si="0"/>
        <v>بدون مقدار</v>
      </c>
      <c r="B25" s="33" t="str">
        <f t="shared" si="1"/>
        <v>بدون مقدار</v>
      </c>
      <c r="T25" s="33"/>
      <c r="U25" s="30"/>
      <c r="V25" s="30"/>
      <c r="W25" s="30"/>
      <c r="X25" s="30"/>
      <c r="Y25" s="30"/>
      <c r="Z25" s="30"/>
      <c r="AA25" s="30"/>
      <c r="AB25" s="30"/>
    </row>
    <row r="26" spans="1:28" ht="20" hidden="1" customHeight="1" outlineLevel="1">
      <c r="A26" s="38">
        <f>SUM(A3:A25)</f>
        <v>360000</v>
      </c>
      <c r="B26" s="38">
        <f>SUM(B3:B25)</f>
        <v>7</v>
      </c>
      <c r="C26" s="38">
        <f t="shared" ref="C26:R26" si="2">IF(SUM(C3:C25)=0,"بدون مقدار",SUM(C3:C25))</f>
        <v>3</v>
      </c>
      <c r="D26" s="38" t="str">
        <f t="shared" si="2"/>
        <v>بدون مقدار</v>
      </c>
      <c r="E26" s="38">
        <f t="shared" si="2"/>
        <v>4</v>
      </c>
      <c r="F26" s="38" t="str">
        <f t="shared" si="2"/>
        <v>بدون مقدار</v>
      </c>
      <c r="G26" s="38" t="str">
        <f t="shared" si="2"/>
        <v>بدون مقدار</v>
      </c>
      <c r="H26" s="38" t="str">
        <f t="shared" si="2"/>
        <v>بدون مقدار</v>
      </c>
      <c r="I26" s="38" t="str">
        <f t="shared" si="2"/>
        <v>بدون مقدار</v>
      </c>
      <c r="J26" s="38" t="str">
        <f t="shared" si="2"/>
        <v>بدون مقدار</v>
      </c>
      <c r="K26" s="38" t="str">
        <f t="shared" si="2"/>
        <v>بدون مقدار</v>
      </c>
      <c r="L26" s="38" t="str">
        <f t="shared" si="2"/>
        <v>بدون مقدار</v>
      </c>
      <c r="M26" s="38" t="str">
        <f t="shared" si="2"/>
        <v>بدون مقدار</v>
      </c>
      <c r="N26" s="38" t="str">
        <f t="shared" si="2"/>
        <v>بدون مقدار</v>
      </c>
      <c r="O26" s="38" t="str">
        <f t="shared" si="2"/>
        <v>بدون مقدار</v>
      </c>
      <c r="P26" s="38" t="str">
        <f t="shared" si="2"/>
        <v>بدون مقدار</v>
      </c>
      <c r="Q26" s="38" t="str">
        <f t="shared" si="2"/>
        <v>بدون مقدار</v>
      </c>
      <c r="R26" s="38" t="str">
        <f t="shared" si="2"/>
        <v>بدون مقدار</v>
      </c>
      <c r="S26" s="38" t="str">
        <f>IF(SUM(S3:S25)=0,"بدون مقدار",SUM(S3:S25))</f>
        <v>بدون مقدار</v>
      </c>
      <c r="T26" s="2" t="s">
        <v>38</v>
      </c>
      <c r="U26" s="30"/>
      <c r="V26" s="30"/>
      <c r="W26" s="30"/>
      <c r="X26" s="30"/>
      <c r="Y26" s="30"/>
      <c r="Z26" s="30"/>
      <c r="AA26" s="30"/>
      <c r="AB26" s="30"/>
    </row>
    <row r="27" spans="1:28" ht="20" hidden="1" customHeight="1" outlineLevel="1">
      <c r="A27" s="38"/>
      <c r="B27" s="38"/>
      <c r="C27" s="38">
        <f>IF(C26="بدون مقدار","-----",C26*R73)</f>
        <v>90000</v>
      </c>
      <c r="D27" s="38" t="str">
        <f>IF(D26="بدون مقدار","-----",D26*Q73)</f>
        <v>-----</v>
      </c>
      <c r="E27" s="38">
        <f>IF(E26="بدون مقدار","-----",E26*P73)</f>
        <v>270000</v>
      </c>
      <c r="F27" s="38" t="str">
        <f>IF(F26="بدون مقدار","-----",F26*O73)</f>
        <v>-----</v>
      </c>
      <c r="G27" s="38" t="str">
        <f>IF(G26="بدون مقدار","-----",G26*N73)</f>
        <v>-----</v>
      </c>
      <c r="H27" s="38" t="str">
        <f>IF(H26="بدون مقدار","-----",H26*M73)</f>
        <v>-----</v>
      </c>
      <c r="I27" s="38" t="str">
        <f>IF(I26="بدون مقدار","-----",I26*L73)</f>
        <v>-----</v>
      </c>
      <c r="J27" s="38" t="str">
        <f>IF(J26="بدون مقدار","-----",J26*K73)</f>
        <v>-----</v>
      </c>
      <c r="K27" s="38" t="str">
        <f>IF(K26="بدون مقدار","-----",K26*J73)</f>
        <v>-----</v>
      </c>
      <c r="L27" s="38" t="str">
        <f>IF(L26="بدون مقدار","-----",L26*I73)</f>
        <v>-----</v>
      </c>
      <c r="M27" s="38" t="str">
        <f>IF(M26="بدون مقدار","-----",M26*H73)</f>
        <v>-----</v>
      </c>
      <c r="N27" s="38" t="str">
        <f>IF(N26="بدون مقدار","-----",N26*G73)</f>
        <v>-----</v>
      </c>
      <c r="O27" s="38" t="str">
        <f>IF(O26="بدون مقدار","-----",O26*F73)</f>
        <v>-----</v>
      </c>
      <c r="P27" s="38" t="str">
        <f>IF(P26="بدون مقدار","-----",P26*E73)</f>
        <v>-----</v>
      </c>
      <c r="Q27" s="38" t="str">
        <f>IF(Q26="بدون مقدار","-----",Q26*D73)</f>
        <v>-----</v>
      </c>
      <c r="R27" s="38" t="str">
        <f>IF(R26="بدون مقدار","-----",R26*C73)</f>
        <v>-----</v>
      </c>
      <c r="S27" s="38" t="str">
        <f>IF(S26="بدون مقدار","-----",S26*B73)</f>
        <v>-----</v>
      </c>
      <c r="T27" s="2" t="s">
        <v>47</v>
      </c>
      <c r="U27" s="30"/>
      <c r="V27" s="30"/>
      <c r="W27" s="30"/>
      <c r="X27" s="30"/>
      <c r="Y27" s="30"/>
      <c r="Z27" s="30"/>
      <c r="AA27" s="30"/>
      <c r="AB27" s="30"/>
    </row>
    <row r="28" spans="1:28" s="30" customFormat="1" collapsed="1"/>
    <row r="29" spans="1:28" s="30" customFormat="1"/>
    <row r="30" spans="1:28" s="30" customFormat="1"/>
    <row r="31" spans="1:28" ht="89.25">
      <c r="A31" s="65" t="s">
        <v>48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</row>
    <row r="32" spans="1:28" s="6" customFormat="1" ht="45" hidden="1" customHeight="1" outlineLevel="1">
      <c r="A32" s="3" t="s">
        <v>46</v>
      </c>
      <c r="B32" s="3" t="s">
        <v>0</v>
      </c>
      <c r="C32" s="4" t="s">
        <v>13</v>
      </c>
      <c r="D32" s="4" t="s">
        <v>14</v>
      </c>
      <c r="E32" s="4" t="s">
        <v>15</v>
      </c>
      <c r="F32" s="4" t="s">
        <v>16</v>
      </c>
      <c r="G32" s="4" t="s">
        <v>17</v>
      </c>
      <c r="H32" s="4" t="s">
        <v>18</v>
      </c>
      <c r="I32" s="4" t="s">
        <v>19</v>
      </c>
      <c r="J32" s="4" t="s">
        <v>20</v>
      </c>
      <c r="K32" s="4" t="s">
        <v>21</v>
      </c>
      <c r="L32" s="4" t="s">
        <v>22</v>
      </c>
      <c r="M32" s="4" t="s">
        <v>23</v>
      </c>
      <c r="N32" s="4" t="s">
        <v>24</v>
      </c>
      <c r="O32" s="4" t="s">
        <v>25</v>
      </c>
      <c r="P32" s="4" t="s">
        <v>26</v>
      </c>
      <c r="Q32" s="4" t="s">
        <v>27</v>
      </c>
      <c r="R32" s="4" t="s">
        <v>28</v>
      </c>
      <c r="S32" s="4" t="s">
        <v>29</v>
      </c>
      <c r="T32" s="4" t="s">
        <v>30</v>
      </c>
      <c r="U32" s="4" t="s">
        <v>31</v>
      </c>
      <c r="V32" s="4" t="s">
        <v>32</v>
      </c>
      <c r="W32" s="4" t="s">
        <v>33</v>
      </c>
      <c r="X32" s="4" t="s">
        <v>34</v>
      </c>
      <c r="Y32" s="4" t="s">
        <v>35</v>
      </c>
      <c r="Z32" s="4" t="s">
        <v>36</v>
      </c>
      <c r="AA32" s="4" t="s">
        <v>37</v>
      </c>
      <c r="AB32" s="5" t="s">
        <v>12</v>
      </c>
    </row>
    <row r="33" spans="1:28" ht="20" hidden="1" customHeight="1" outlineLevel="1">
      <c r="A33" s="33"/>
      <c r="B33" s="33" t="str">
        <f>IF(SUM(C33:AA33)=0,"بدون مقدار",SUM(C33:AA33))</f>
        <v>بدون مقدار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AB33" s="35"/>
    </row>
    <row r="34" spans="1:28" ht="20" hidden="1" customHeight="1" outlineLevel="1">
      <c r="A34" s="33"/>
      <c r="B34" s="33" t="str">
        <f t="shared" ref="B34:B55" si="3">IF(SUM(C34:AA34)=0,"بدون مقدار",SUM(C34:AA34))</f>
        <v>بدون مقدار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AB34" s="35"/>
    </row>
    <row r="35" spans="1:28" ht="20" hidden="1" customHeight="1" outlineLevel="1">
      <c r="A35" s="33"/>
      <c r="B35" s="33" t="str">
        <f t="shared" si="3"/>
        <v>بدون مقدار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AB35" s="35"/>
    </row>
    <row r="36" spans="1:28" ht="20" hidden="1" customHeight="1" outlineLevel="1">
      <c r="A36" s="33"/>
      <c r="B36" s="33" t="str">
        <f t="shared" si="3"/>
        <v>بدون مقدار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AB36" s="35"/>
    </row>
    <row r="37" spans="1:28" ht="20" hidden="1" customHeight="1" outlineLevel="1">
      <c r="A37" s="33"/>
      <c r="B37" s="33" t="str">
        <f t="shared" si="3"/>
        <v>بدون مقدار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AB37" s="35"/>
    </row>
    <row r="38" spans="1:28" ht="20" hidden="1" customHeight="1" outlineLevel="1">
      <c r="A38" s="33"/>
      <c r="B38" s="33" t="str">
        <f t="shared" si="3"/>
        <v>بدون مقدار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AB38" s="35"/>
    </row>
    <row r="39" spans="1:28" ht="20" hidden="1" customHeight="1" outlineLevel="1">
      <c r="A39" s="33"/>
      <c r="B39" s="33" t="str">
        <f t="shared" si="3"/>
        <v>بدون مقدار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AB39" s="35"/>
    </row>
    <row r="40" spans="1:28" ht="20" hidden="1" customHeight="1" outlineLevel="1">
      <c r="A40" s="33"/>
      <c r="B40" s="33" t="str">
        <f t="shared" si="3"/>
        <v>بدون مقدار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AB40" s="35"/>
    </row>
    <row r="41" spans="1:28" ht="20" hidden="1" customHeight="1" outlineLevel="1">
      <c r="A41" s="33"/>
      <c r="B41" s="33" t="str">
        <f t="shared" si="3"/>
        <v>بدون مقدار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AB41" s="35"/>
    </row>
    <row r="42" spans="1:28" ht="20" hidden="1" customHeight="1" outlineLevel="1">
      <c r="A42" s="33"/>
      <c r="B42" s="33" t="str">
        <f t="shared" si="3"/>
        <v>بدون مقدار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AB42" s="35"/>
    </row>
    <row r="43" spans="1:28" ht="20" hidden="1" customHeight="1" outlineLevel="1">
      <c r="A43" s="33"/>
      <c r="B43" s="33" t="str">
        <f t="shared" si="3"/>
        <v>بدون مقدار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AB43" s="35"/>
    </row>
    <row r="44" spans="1:28" ht="20" hidden="1" customHeight="1" outlineLevel="1">
      <c r="A44" s="33"/>
      <c r="B44" s="33" t="str">
        <f t="shared" si="3"/>
        <v>بدون مقدار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AB44" s="35"/>
    </row>
    <row r="45" spans="1:28" ht="20" hidden="1" customHeight="1" outlineLevel="1">
      <c r="A45" s="33"/>
      <c r="B45" s="33" t="str">
        <f t="shared" si="3"/>
        <v>بدون مقدار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AB45" s="35"/>
    </row>
    <row r="46" spans="1:28" ht="20" hidden="1" customHeight="1" outlineLevel="1">
      <c r="A46" s="33"/>
      <c r="B46" s="33" t="str">
        <f t="shared" si="3"/>
        <v>بدون مقدار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AB46" s="35"/>
    </row>
    <row r="47" spans="1:28" ht="20" hidden="1" customHeight="1" outlineLevel="1">
      <c r="A47" s="33"/>
      <c r="B47" s="33" t="str">
        <f t="shared" si="3"/>
        <v>بدون مقدار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AB47" s="35"/>
    </row>
    <row r="48" spans="1:28" ht="20" hidden="1" customHeight="1" outlineLevel="1">
      <c r="A48" s="33"/>
      <c r="B48" s="33" t="str">
        <f t="shared" si="3"/>
        <v>بدون مقدار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AB48" s="35"/>
    </row>
    <row r="49" spans="1:28" ht="20" hidden="1" customHeight="1" outlineLevel="1">
      <c r="A49" s="33"/>
      <c r="B49" s="33" t="str">
        <f t="shared" si="3"/>
        <v>بدون مقدار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AB49" s="35"/>
    </row>
    <row r="50" spans="1:28" ht="20" hidden="1" customHeight="1" outlineLevel="1">
      <c r="A50" s="33"/>
      <c r="B50" s="33" t="str">
        <f t="shared" si="3"/>
        <v>بدون مقدار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AB50" s="35"/>
    </row>
    <row r="51" spans="1:28" ht="20" hidden="1" customHeight="1" outlineLevel="1">
      <c r="A51" s="33"/>
      <c r="B51" s="33" t="str">
        <f t="shared" si="3"/>
        <v>بدون مقدار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AB51" s="35"/>
    </row>
    <row r="52" spans="1:28" ht="20" hidden="1" customHeight="1" outlineLevel="1">
      <c r="A52" s="33"/>
      <c r="B52" s="33" t="str">
        <f t="shared" si="3"/>
        <v>بدون مقدار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AB52" s="35"/>
    </row>
    <row r="53" spans="1:28" ht="20" hidden="1" customHeight="1" outlineLevel="1">
      <c r="A53" s="33"/>
      <c r="B53" s="33" t="str">
        <f t="shared" si="3"/>
        <v>بدون مقدار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AB53" s="35"/>
    </row>
    <row r="54" spans="1:28" ht="20" hidden="1" customHeight="1" outlineLevel="1">
      <c r="A54" s="33"/>
      <c r="B54" s="33" t="str">
        <f t="shared" si="3"/>
        <v>بدون مقدار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AB54" s="35"/>
    </row>
    <row r="55" spans="1:28" ht="20" hidden="1" customHeight="1" outlineLevel="1">
      <c r="A55" s="33"/>
      <c r="B55" s="33" t="str">
        <f t="shared" si="3"/>
        <v>بدون مقدار</v>
      </c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AB55" s="35"/>
    </row>
    <row r="56" spans="1:28" ht="20" hidden="1" customHeight="1" outlineLevel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1" t="s">
        <v>38</v>
      </c>
    </row>
    <row r="57" spans="1:28" ht="20" hidden="1" customHeight="1" outlineLevel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1" t="s">
        <v>47</v>
      </c>
    </row>
    <row r="58" spans="1:28" collapsed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spans="1:28" ht="14.65" thickBo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spans="1:28" s="25" customFormat="1" ht="61.9" customHeight="1" thickTop="1" thickBot="1">
      <c r="A60" s="45" t="s">
        <v>49</v>
      </c>
      <c r="B60" s="46"/>
      <c r="C60" s="46"/>
      <c r="D60" s="46"/>
      <c r="E60" s="46"/>
      <c r="F60" s="47"/>
      <c r="G60" s="29"/>
      <c r="H60" s="44" t="s">
        <v>64</v>
      </c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29"/>
      <c r="X60" s="29"/>
      <c r="Y60" s="29"/>
      <c r="Z60" s="29"/>
      <c r="AA60" s="29"/>
      <c r="AB60" s="29"/>
    </row>
    <row r="61" spans="1:28" s="25" customFormat="1" ht="30" hidden="1" customHeight="1" outlineLevel="1" thickTop="1" thickBot="1">
      <c r="A61" s="22" t="s">
        <v>38</v>
      </c>
      <c r="B61" s="50" t="s">
        <v>53</v>
      </c>
      <c r="C61" s="51"/>
      <c r="D61" s="24" t="s">
        <v>50</v>
      </c>
      <c r="E61" s="22" t="s">
        <v>51</v>
      </c>
      <c r="F61" s="23" t="s">
        <v>52</v>
      </c>
      <c r="G61" s="29"/>
      <c r="H61" s="26" t="s">
        <v>54</v>
      </c>
      <c r="I61" s="27" t="s">
        <v>55</v>
      </c>
      <c r="J61" s="48" t="s">
        <v>56</v>
      </c>
      <c r="K61" s="49"/>
      <c r="L61" s="28" t="s">
        <v>57</v>
      </c>
      <c r="M61" s="48" t="s">
        <v>58</v>
      </c>
      <c r="N61" s="49"/>
      <c r="O61" s="48" t="s">
        <v>59</v>
      </c>
      <c r="P61" s="49"/>
      <c r="Q61" s="48" t="s">
        <v>60</v>
      </c>
      <c r="R61" s="49"/>
      <c r="S61" s="48" t="s">
        <v>61</v>
      </c>
      <c r="T61" s="49"/>
      <c r="U61" s="48" t="s">
        <v>62</v>
      </c>
      <c r="V61" s="49"/>
      <c r="W61" s="29"/>
      <c r="X61" s="29"/>
      <c r="Y61" s="29"/>
      <c r="Z61" s="29"/>
      <c r="AA61" s="29"/>
      <c r="AB61" s="29"/>
    </row>
    <row r="62" spans="1:28" ht="22.05" hidden="1" customHeight="1" outlineLevel="1" thickTop="1" thickBot="1">
      <c r="A62" s="20"/>
      <c r="B62" s="52"/>
      <c r="C62" s="53"/>
      <c r="D62" s="13"/>
      <c r="E62" s="12"/>
      <c r="F62" s="18"/>
      <c r="G62" s="30"/>
      <c r="H62" s="31"/>
      <c r="I62" s="32"/>
      <c r="J62" s="60">
        <f>O62+Q62-S62</f>
        <v>0</v>
      </c>
      <c r="K62" s="61"/>
      <c r="L62" s="31"/>
      <c r="M62" s="62"/>
      <c r="N62" s="62"/>
      <c r="O62" s="63">
        <v>0</v>
      </c>
      <c r="P62" s="64"/>
      <c r="Q62" s="60">
        <f>H56</f>
        <v>0</v>
      </c>
      <c r="R62" s="61"/>
      <c r="S62" s="60">
        <f>F36+AD36</f>
        <v>0</v>
      </c>
      <c r="T62" s="61"/>
      <c r="U62" s="60">
        <f>J35+AH35</f>
        <v>0</v>
      </c>
      <c r="V62" s="61"/>
      <c r="W62" s="30"/>
      <c r="X62" s="30"/>
      <c r="Y62" s="30"/>
      <c r="Z62" s="30"/>
      <c r="AA62" s="30"/>
      <c r="AB62" s="30"/>
    </row>
    <row r="63" spans="1:28" ht="22.05" hidden="1" customHeight="1" outlineLevel="1" thickTop="1" thickBot="1">
      <c r="A63" s="14"/>
      <c r="B63" s="52"/>
      <c r="C63" s="53"/>
      <c r="D63" s="18"/>
      <c r="E63" s="12"/>
      <c r="F63" s="18"/>
      <c r="G63" s="30"/>
      <c r="H63" s="58" t="s">
        <v>63</v>
      </c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30"/>
      <c r="X63" s="30"/>
      <c r="Y63" s="30"/>
      <c r="Z63" s="30"/>
      <c r="AA63" s="30"/>
      <c r="AB63" s="30"/>
    </row>
    <row r="64" spans="1:28" ht="22.05" hidden="1" customHeight="1" outlineLevel="1" thickTop="1" thickBot="1">
      <c r="A64" s="20"/>
      <c r="B64" s="54"/>
      <c r="C64" s="55"/>
      <c r="D64" s="20"/>
      <c r="E64" s="21"/>
      <c r="F64" s="20"/>
      <c r="G64" s="30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30"/>
      <c r="X64" s="30"/>
      <c r="Y64" s="30"/>
      <c r="Z64" s="30"/>
      <c r="AA64" s="30"/>
      <c r="AB64" s="30"/>
    </row>
    <row r="65" spans="1:28" ht="22.05" hidden="1" customHeight="1" outlineLevel="1" thickTop="1" thickBot="1">
      <c r="A65" s="20"/>
      <c r="B65" s="54"/>
      <c r="C65" s="55"/>
      <c r="D65" s="20"/>
      <c r="E65" s="21"/>
      <c r="F65" s="20"/>
      <c r="G65" s="30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30"/>
      <c r="X65" s="30"/>
      <c r="Y65" s="30"/>
      <c r="Z65" s="30"/>
      <c r="AA65" s="30"/>
      <c r="AB65" s="30"/>
    </row>
    <row r="66" spans="1:28" s="30" customFormat="1" ht="22.05" hidden="1" customHeight="1" outlineLevel="1" thickTop="1" thickBot="1">
      <c r="A66" s="20"/>
      <c r="B66" s="52"/>
      <c r="C66" s="53"/>
      <c r="D66" s="20"/>
      <c r="E66" s="21"/>
      <c r="F66" s="20"/>
    </row>
    <row r="67" spans="1:28" s="30" customFormat="1" ht="22.05" hidden="1" customHeight="1" outlineLevel="1" thickTop="1" thickBot="1">
      <c r="A67" s="15"/>
      <c r="B67" s="54"/>
      <c r="C67" s="55"/>
      <c r="D67" s="17"/>
      <c r="E67" s="16"/>
      <c r="F67" s="19"/>
    </row>
    <row r="68" spans="1:28" s="30" customFormat="1" ht="22.05" hidden="1" customHeight="1" outlineLevel="1" thickTop="1" thickBot="1">
      <c r="A68" s="20"/>
      <c r="B68" s="54"/>
      <c r="C68" s="55"/>
      <c r="D68" s="20"/>
      <c r="E68" s="21"/>
      <c r="F68" s="20"/>
    </row>
    <row r="69" spans="1:28" s="30" customFormat="1" ht="22.05" hidden="1" customHeight="1" outlineLevel="1" thickTop="1" thickBot="1">
      <c r="A69" s="15"/>
      <c r="B69" s="56"/>
      <c r="C69" s="57"/>
      <c r="D69" s="17"/>
      <c r="E69" s="16"/>
      <c r="F69" s="19"/>
    </row>
    <row r="70" spans="1:28" s="30" customFormat="1" ht="19.899999999999999" customHeight="1" collapsed="1" thickTop="1" thickBot="1"/>
    <row r="71" spans="1:28" s="30" customFormat="1" ht="61.5" customHeight="1" thickTop="1" thickBot="1">
      <c r="A71" s="45" t="s">
        <v>65</v>
      </c>
      <c r="B71" s="46"/>
      <c r="C71" s="46"/>
      <c r="D71" s="46"/>
      <c r="E71" s="46"/>
      <c r="F71" s="47"/>
    </row>
    <row r="72" spans="1:28" s="40" customFormat="1" ht="67.900000000000006" hidden="1" customHeight="1" outlineLevel="1" thickTop="1">
      <c r="A72" s="43" t="s">
        <v>65</v>
      </c>
      <c r="B72" s="40" t="s">
        <v>1</v>
      </c>
      <c r="C72" s="40" t="s">
        <v>9</v>
      </c>
      <c r="D72" s="40" t="s">
        <v>66</v>
      </c>
      <c r="E72" s="40" t="s">
        <v>67</v>
      </c>
      <c r="F72" s="40" t="s">
        <v>11</v>
      </c>
      <c r="G72" s="40" t="s">
        <v>10</v>
      </c>
      <c r="H72" s="40" t="s">
        <v>4</v>
      </c>
      <c r="I72" s="40" t="s">
        <v>5</v>
      </c>
      <c r="J72" s="40" t="s">
        <v>68</v>
      </c>
      <c r="K72" s="40" t="s">
        <v>69</v>
      </c>
      <c r="L72" s="40" t="s">
        <v>70</v>
      </c>
      <c r="M72" s="40" t="s">
        <v>44</v>
      </c>
      <c r="N72" s="40" t="s">
        <v>71</v>
      </c>
      <c r="O72" s="40" t="s">
        <v>42</v>
      </c>
      <c r="P72" s="40" t="s">
        <v>41</v>
      </c>
      <c r="Q72" s="40" t="s">
        <v>40</v>
      </c>
      <c r="R72" s="40" t="s">
        <v>2</v>
      </c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s="42" customFormat="1" ht="37.15" hidden="1" customHeight="1" outlineLevel="1">
      <c r="A73" s="41"/>
      <c r="B73" s="42">
        <v>4500</v>
      </c>
      <c r="C73" s="42">
        <v>3850</v>
      </c>
      <c r="D73" s="42">
        <v>5000</v>
      </c>
      <c r="E73" s="42">
        <v>3800</v>
      </c>
      <c r="F73" s="42">
        <v>6000</v>
      </c>
      <c r="G73" s="42">
        <v>15000</v>
      </c>
      <c r="H73" s="42">
        <v>1000</v>
      </c>
      <c r="I73" s="42">
        <v>2500</v>
      </c>
      <c r="J73" s="42">
        <v>50000</v>
      </c>
      <c r="K73" s="42">
        <v>9600</v>
      </c>
      <c r="L73" s="42">
        <v>12000</v>
      </c>
      <c r="M73" s="42">
        <v>365000</v>
      </c>
      <c r="N73" s="42">
        <v>65000</v>
      </c>
      <c r="O73" s="42">
        <v>12000</v>
      </c>
      <c r="P73" s="42">
        <v>67500</v>
      </c>
      <c r="Q73" s="42">
        <v>235000</v>
      </c>
      <c r="R73" s="42">
        <v>30000</v>
      </c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spans="1:28" s="40" customFormat="1" ht="67.900000000000006" hidden="1" customHeight="1" outlineLevel="1">
      <c r="A74" s="39" t="s">
        <v>65</v>
      </c>
    </row>
    <row r="75" spans="1:28" s="42" customFormat="1" ht="38.25" hidden="1" customHeight="1" outlineLevel="1">
      <c r="A75" s="41"/>
    </row>
    <row r="76" spans="1:28" s="41" customFormat="1" ht="19.899999999999999" customHeight="1" collapsed="1" thickTop="1"/>
    <row r="77" spans="1:28" s="41" customFormat="1" ht="19.899999999999999" customHeight="1"/>
    <row r="78" spans="1:28" s="41" customFormat="1" ht="19.899999999999999" customHeight="1"/>
    <row r="79" spans="1:28" s="41" customFormat="1" ht="19.899999999999999" customHeight="1"/>
    <row r="80" spans="1:28" s="41" customFormat="1" ht="19.899999999999999" customHeight="1"/>
    <row r="81" s="11" customFormat="1" hidden="1"/>
    <row r="82" s="11" customFormat="1" hidden="1"/>
    <row r="83" s="11" customFormat="1" hidden="1"/>
    <row r="84" s="11" customFormat="1" hidden="1"/>
    <row r="85" s="11" customFormat="1" hidden="1"/>
    <row r="86" s="11" customFormat="1" hidden="1"/>
  </sheetData>
  <mergeCells count="27">
    <mergeCell ref="A1:T1"/>
    <mergeCell ref="A31:AB31"/>
    <mergeCell ref="Q62:R62"/>
    <mergeCell ref="S62:T62"/>
    <mergeCell ref="A60:F60"/>
    <mergeCell ref="J61:K61"/>
    <mergeCell ref="H63:V65"/>
    <mergeCell ref="J62:K62"/>
    <mergeCell ref="M62:N62"/>
    <mergeCell ref="O62:P62"/>
    <mergeCell ref="U62:V62"/>
    <mergeCell ref="H60:V60"/>
    <mergeCell ref="A71:F71"/>
    <mergeCell ref="M61:N61"/>
    <mergeCell ref="O61:P61"/>
    <mergeCell ref="Q61:R61"/>
    <mergeCell ref="S61:T61"/>
    <mergeCell ref="U61:V61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Aref Hosseini</dc:creator>
  <cp:lastModifiedBy>Aref Hosseini</cp:lastModifiedBy>
  <dcterms:created xsi:type="dcterms:W3CDTF">2025-12-04T11:35:55Z</dcterms:created>
  <dcterms:modified xsi:type="dcterms:W3CDTF">2025-12-04T14:31:34Z</dcterms:modified>
</cp:coreProperties>
</file>